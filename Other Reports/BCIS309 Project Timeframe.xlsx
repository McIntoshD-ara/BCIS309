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dmm0416_arastudent_ac_nz/Documents/2026 S1/BCIS309 Capstone/Weekly Reports/Weekly Reports/"/>
    </mc:Choice>
  </mc:AlternateContent>
  <xr:revisionPtr revIDLastSave="401" documentId="8_{F67DA2EB-83DD-42AC-9A1D-5037C265386B}" xr6:coauthVersionLast="47" xr6:coauthVersionMax="47" xr10:uidLastSave="{A6F6E9DE-4ACB-4BC7-87DE-31E4E0530616}"/>
  <bookViews>
    <workbookView xWindow="-108" yWindow="-108" windowWidth="23256" windowHeight="13176" activeTab="1" xr2:uid="{EA32EB52-33D6-4050-96A2-43A6F8B7B4B8}"/>
  </bookViews>
  <sheets>
    <sheet name="Project Calendar" sheetId="2" r:id="rId1"/>
    <sheet name="Hours &amp; Burndow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K25" i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B5" i="2"/>
  <c r="B6" i="2" s="1"/>
  <c r="B7" i="2" s="1"/>
  <c r="M25" i="1" l="1"/>
</calcChain>
</file>

<file path=xl/sharedStrings.xml><?xml version="1.0" encoding="utf-8"?>
<sst xmlns="http://schemas.openxmlformats.org/spreadsheetml/2006/main" count="150" uniqueCount="65">
  <si>
    <t>Academic Week</t>
  </si>
  <si>
    <t>EMERGE</t>
  </si>
  <si>
    <t>Term Break</t>
  </si>
  <si>
    <t>RESULTS</t>
  </si>
  <si>
    <t>Exam Week</t>
  </si>
  <si>
    <t>Study Week</t>
  </si>
  <si>
    <t>Sth Canterbury Ann.</t>
  </si>
  <si>
    <t>Spring Graduation</t>
  </si>
  <si>
    <t>September</t>
  </si>
  <si>
    <t>August</t>
  </si>
  <si>
    <t>Matariki</t>
  </si>
  <si>
    <t>July</t>
  </si>
  <si>
    <t>June</t>
  </si>
  <si>
    <t>May</t>
  </si>
  <si>
    <t>Easter</t>
  </si>
  <si>
    <t>April</t>
  </si>
  <si>
    <t>March</t>
  </si>
  <si>
    <t>Semester 1 Start</t>
  </si>
  <si>
    <t xml:space="preserve">Waitangi Day </t>
  </si>
  <si>
    <t>February</t>
  </si>
  <si>
    <t>January</t>
  </si>
  <si>
    <t>Course Week</t>
  </si>
  <si>
    <t>Sun</t>
  </si>
  <si>
    <t>Sat</t>
  </si>
  <si>
    <t>Friday</t>
  </si>
  <si>
    <t>Thursday</t>
  </si>
  <si>
    <t>Wednesday</t>
  </si>
  <si>
    <t>Tuesday</t>
  </si>
  <si>
    <t>Monday</t>
  </si>
  <si>
    <t xml:space="preserve">       2026 Calendar</t>
  </si>
  <si>
    <t>SOCIAL</t>
  </si>
  <si>
    <t>1-2 Booked</t>
  </si>
  <si>
    <t>8-12 Booked</t>
  </si>
  <si>
    <t>8-12 Booked King's Bday</t>
  </si>
  <si>
    <t>8-12 Booked ANZAC</t>
  </si>
  <si>
    <t>8-12 Booked Easter</t>
  </si>
  <si>
    <t>SOCIAL Easter</t>
  </si>
  <si>
    <t>8-12 Booked  3-5 Class</t>
  </si>
  <si>
    <t>Academic</t>
  </si>
  <si>
    <t>Planned</t>
  </si>
  <si>
    <t>Actual</t>
  </si>
  <si>
    <t>Industry</t>
  </si>
  <si>
    <t>Remaining</t>
  </si>
  <si>
    <t>Student Rep 12-1</t>
  </si>
  <si>
    <t>Milestones</t>
  </si>
  <si>
    <t>Proposal</t>
  </si>
  <si>
    <t>Panel</t>
  </si>
  <si>
    <t>Halfway</t>
  </si>
  <si>
    <t>1-3 Class</t>
  </si>
  <si>
    <t>1 IS meeting</t>
  </si>
  <si>
    <t>8-12 Booked 12 AS Meeting
12:45 IS Meeting  3-5 Class</t>
  </si>
  <si>
    <t>8-12 Booked 
12:45 IS Meeting  3-5 Class</t>
  </si>
  <si>
    <t>12 AS Meeting Student Rep 12-1</t>
  </si>
  <si>
    <t>12 AS Meeting
6h Industry</t>
  </si>
  <si>
    <t>6h Industry</t>
  </si>
  <si>
    <t>1-3 Class
6h Industry</t>
  </si>
  <si>
    <t>1 IS meeting
6h Industry</t>
  </si>
  <si>
    <t>Easter
6h Industry</t>
  </si>
  <si>
    <t>Term Break
6h Industry</t>
  </si>
  <si>
    <t>Tech Demo</t>
  </si>
  <si>
    <t>Academic
Deliverables</t>
  </si>
  <si>
    <t>Industry
Deliverables</t>
  </si>
  <si>
    <t>Final Report
Panel Deliverables</t>
  </si>
  <si>
    <t>Presentation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</si>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</sst>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9"/>
      <name val="Aptos Narrow"/>
      <family val="2"/>
      <scheme val="minor"/>
    </font>
    <font>
      <sz val="8"/>
      <name val="Aptos Narrow"/>
      <family val="2"/>
      <scheme val="minor"/>
    </font>
    <font>
      <sz val="7"/>
      <name val="Aptos Narrow"/>
      <family val="2"/>
      <scheme val="minor"/>
    </font>
    <font>
      <b/>
      <sz val="10"/>
      <name val="Aptos Narrow"/>
      <family val="2"/>
      <scheme val="minor"/>
    </font>
    <font>
      <b/>
      <sz val="8"/>
      <name val="Aptos Narrow"/>
      <family val="2"/>
      <scheme val="minor"/>
    </font>
    <font>
      <b/>
      <sz val="9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18"/>
      <name val="Arial"/>
      <family val="2"/>
    </font>
    <font>
      <b/>
      <sz val="20"/>
      <color theme="8" tint="-0.499984740745262"/>
      <name val="Aptos Narrow"/>
      <family val="2"/>
      <scheme val="minor"/>
    </font>
    <font>
      <sz val="8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gray0625">
        <bgColor theme="9" tint="0.39997558519241921"/>
      </patternFill>
    </fill>
    <fill>
      <patternFill patternType="lightDown">
        <bgColor theme="9" tint="0.39997558519241921"/>
      </patternFill>
    </fill>
    <fill>
      <patternFill patternType="solid">
        <fgColor rgb="FF6EC7C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Down">
        <bgColor rgb="FFCCECEA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ECEA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9">
    <xf numFmtId="0" fontId="0" fillId="0" borderId="0" xfId="0"/>
    <xf numFmtId="0" fontId="2" fillId="0" borderId="0" xfId="1"/>
    <xf numFmtId="0" fontId="3" fillId="0" borderId="0" xfId="1" applyFont="1"/>
    <xf numFmtId="0" fontId="6" fillId="5" borderId="4" xfId="1" applyFont="1" applyFill="1" applyBorder="1" applyAlignment="1">
      <alignment horizontal="center" vertical="center"/>
    </xf>
    <xf numFmtId="0" fontId="5" fillId="3" borderId="6" xfId="1" applyFont="1" applyFill="1" applyBorder="1"/>
    <xf numFmtId="0" fontId="5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9" borderId="12" xfId="1" applyFont="1" applyFill="1" applyBorder="1" applyAlignment="1">
      <alignment horizontal="center" vertical="center" wrapText="1"/>
    </xf>
    <xf numFmtId="0" fontId="5" fillId="10" borderId="6" xfId="1" applyFont="1" applyFill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left" vertical="center"/>
    </xf>
    <xf numFmtId="0" fontId="5" fillId="12" borderId="6" xfId="1" applyFont="1" applyFill="1" applyBorder="1" applyAlignment="1">
      <alignment horizontal="center" vertical="center" wrapText="1"/>
    </xf>
    <xf numFmtId="0" fontId="8" fillId="12" borderId="6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8" fillId="6" borderId="7" xfId="1" applyFont="1" applyFill="1" applyBorder="1" applyAlignment="1">
      <alignment horizontal="center" vertical="center"/>
    </xf>
    <xf numFmtId="0" fontId="8" fillId="7" borderId="7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9" borderId="2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10" borderId="6" xfId="1" applyFont="1" applyFill="1" applyBorder="1" applyAlignment="1">
      <alignment horizontal="center" vertical="center"/>
    </xf>
    <xf numFmtId="0" fontId="9" fillId="0" borderId="8" xfId="1" applyFont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8" fillId="12" borderId="1" xfId="1" applyFont="1" applyFill="1" applyBorder="1" applyAlignment="1">
      <alignment horizontal="center" vertical="center" wrapText="1"/>
    </xf>
    <xf numFmtId="0" fontId="5" fillId="12" borderId="1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18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5" fillId="3" borderId="12" xfId="1" applyFont="1" applyFill="1" applyBorder="1"/>
    <xf numFmtId="0" fontId="5" fillId="3" borderId="22" xfId="1" applyFont="1" applyFill="1" applyBorder="1"/>
    <xf numFmtId="0" fontId="5" fillId="3" borderId="23" xfId="1" applyFont="1" applyFill="1" applyBorder="1"/>
    <xf numFmtId="0" fontId="5" fillId="3" borderId="23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0" fontId="11" fillId="5" borderId="27" xfId="1" applyFont="1" applyFill="1" applyBorder="1" applyAlignment="1">
      <alignment horizontal="center" vertical="center" wrapText="1"/>
    </xf>
    <xf numFmtId="0" fontId="9" fillId="5" borderId="28" xfId="1" applyFont="1" applyFill="1" applyBorder="1" applyAlignment="1">
      <alignment horizontal="center" vertical="center"/>
    </xf>
    <xf numFmtId="0" fontId="9" fillId="5" borderId="29" xfId="1" applyFont="1" applyFill="1" applyBorder="1" applyAlignment="1">
      <alignment horizontal="center" vertical="center"/>
    </xf>
    <xf numFmtId="0" fontId="9" fillId="5" borderId="30" xfId="1" applyFont="1" applyFill="1" applyBorder="1" applyAlignment="1">
      <alignment horizontal="center" vertical="center"/>
    </xf>
    <xf numFmtId="0" fontId="9" fillId="5" borderId="29" xfId="1" applyFont="1" applyFill="1" applyBorder="1" applyAlignment="1">
      <alignment horizontal="center"/>
    </xf>
    <xf numFmtId="0" fontId="7" fillId="5" borderId="31" xfId="1" applyFont="1" applyFill="1" applyBorder="1" applyAlignment="1">
      <alignment horizontal="center"/>
    </xf>
    <xf numFmtId="0" fontId="12" fillId="0" borderId="0" xfId="1" applyFont="1"/>
    <xf numFmtId="0" fontId="8" fillId="11" borderId="11" xfId="1" applyFont="1" applyFill="1" applyBorder="1" applyAlignment="1">
      <alignment horizontal="center" vertical="center" wrapText="1"/>
    </xf>
    <xf numFmtId="0" fontId="14" fillId="8" borderId="7" xfId="1" applyFont="1" applyFill="1" applyBorder="1" applyAlignment="1">
      <alignment horizontal="center" vertical="center" wrapText="1"/>
    </xf>
    <xf numFmtId="0" fontId="14" fillId="8" borderId="7" xfId="1" applyFont="1" applyFill="1" applyBorder="1" applyAlignment="1">
      <alignment horizontal="center" vertical="center"/>
    </xf>
    <xf numFmtId="0" fontId="14" fillId="8" borderId="6" xfId="1" applyFont="1" applyFill="1" applyBorder="1" applyAlignment="1">
      <alignment horizontal="center" vertical="center" wrapText="1"/>
    </xf>
    <xf numFmtId="0" fontId="14" fillId="8" borderId="6" xfId="1" applyFont="1" applyFill="1" applyBorder="1" applyAlignment="1">
      <alignment horizontal="center" vertical="center"/>
    </xf>
    <xf numFmtId="0" fontId="14" fillId="8" borderId="13" xfId="1" applyFont="1" applyFill="1" applyBorder="1" applyAlignment="1">
      <alignment horizontal="center" vertical="center"/>
    </xf>
    <xf numFmtId="0" fontId="14" fillId="8" borderId="8" xfId="1" applyFont="1" applyFill="1" applyBorder="1" applyAlignment="1">
      <alignment horizontal="center" vertical="center" wrapText="1"/>
    </xf>
    <xf numFmtId="0" fontId="14" fillId="8" borderId="1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13" fillId="0" borderId="26" xfId="1" applyFont="1" applyBorder="1" applyAlignment="1">
      <alignment vertical="center"/>
    </xf>
    <xf numFmtId="0" fontId="13" fillId="0" borderId="32" xfId="1" applyFont="1" applyBorder="1" applyAlignment="1">
      <alignment vertical="center"/>
    </xf>
    <xf numFmtId="0" fontId="0" fillId="13" borderId="0" xfId="0" applyFill="1" applyAlignment="1">
      <alignment horizontal="right" vertical="top"/>
    </xf>
    <xf numFmtId="14" fontId="0" fillId="13" borderId="0" xfId="0" applyNumberFormat="1" applyFill="1"/>
    <xf numFmtId="0" fontId="0" fillId="13" borderId="0" xfId="0" applyFill="1"/>
    <xf numFmtId="14" fontId="0" fillId="14" borderId="0" xfId="0" applyNumberFormat="1" applyFill="1"/>
    <xf numFmtId="14" fontId="1" fillId="13" borderId="0" xfId="0" applyNumberFormat="1" applyFont="1" applyFill="1"/>
    <xf numFmtId="14" fontId="1" fillId="14" borderId="0" xfId="0" applyNumberFormat="1" applyFont="1" applyFill="1"/>
    <xf numFmtId="0" fontId="0" fillId="8" borderId="0" xfId="0" applyFill="1" applyAlignment="1">
      <alignment horizontal="right" vertical="top"/>
    </xf>
    <xf numFmtId="14" fontId="1" fillId="8" borderId="0" xfId="0" applyNumberFormat="1" applyFont="1" applyFill="1"/>
    <xf numFmtId="14" fontId="0" fillId="8" borderId="0" xfId="0" applyNumberFormat="1" applyFill="1"/>
    <xf numFmtId="0" fontId="8" fillId="2" borderId="6" xfId="1" applyFont="1" applyFill="1" applyBorder="1" applyAlignment="1">
      <alignment horizontal="center" vertical="center" wrapText="1"/>
    </xf>
    <xf numFmtId="0" fontId="4" fillId="5" borderId="33" xfId="1" applyFont="1" applyFill="1" applyBorder="1" applyAlignment="1">
      <alignment horizontal="center" vertical="center"/>
    </xf>
    <xf numFmtId="0" fontId="11" fillId="5" borderId="31" xfId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center" vertical="center"/>
    </xf>
    <xf numFmtId="0" fontId="4" fillId="2" borderId="35" xfId="1" applyFont="1" applyFill="1" applyBorder="1" applyAlignment="1">
      <alignment horizontal="center" vertical="center"/>
    </xf>
    <xf numFmtId="0" fontId="4" fillId="2" borderId="36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4" fillId="5" borderId="37" xfId="1" applyFont="1" applyFill="1" applyBorder="1" applyAlignment="1">
      <alignment horizontal="center" vertical="center"/>
    </xf>
    <xf numFmtId="0" fontId="5" fillId="0" borderId="38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 wrapText="1"/>
    </xf>
    <xf numFmtId="0" fontId="8" fillId="14" borderId="38" xfId="1" applyFont="1" applyFill="1" applyBorder="1" applyAlignment="1">
      <alignment horizontal="center" vertical="center" wrapText="1"/>
    </xf>
    <xf numFmtId="0" fontId="8" fillId="14" borderId="4" xfId="1" applyFont="1" applyFill="1" applyBorder="1" applyAlignment="1">
      <alignment horizontal="center" vertical="center" wrapText="1"/>
    </xf>
    <xf numFmtId="0" fontId="8" fillId="14" borderId="39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3" borderId="0" xfId="0" applyFill="1" applyAlignment="1">
      <alignment horizontal="center"/>
    </xf>
    <xf numFmtId="0" fontId="7" fillId="5" borderId="10" xfId="1" applyFont="1" applyFill="1" applyBorder="1" applyAlignment="1">
      <alignment horizontal="center" vertical="center" textRotation="90"/>
    </xf>
    <xf numFmtId="0" fontId="7" fillId="5" borderId="15" xfId="1" applyFont="1" applyFill="1" applyBorder="1" applyAlignment="1">
      <alignment horizontal="center" vertical="center" textRotation="90"/>
    </xf>
    <xf numFmtId="0" fontId="7" fillId="5" borderId="19" xfId="1" applyFont="1" applyFill="1" applyBorder="1" applyAlignment="1">
      <alignment horizontal="center" vertical="center" textRotation="90"/>
    </xf>
    <xf numFmtId="0" fontId="7" fillId="5" borderId="5" xfId="1" applyFont="1" applyFill="1" applyBorder="1" applyAlignment="1">
      <alignment horizontal="center" vertical="center" textRotation="90"/>
    </xf>
    <xf numFmtId="0" fontId="7" fillId="5" borderId="10" xfId="1" applyFont="1" applyFill="1" applyBorder="1" applyAlignment="1" applyProtection="1">
      <alignment horizontal="center" vertical="center" textRotation="90"/>
      <protection locked="0"/>
    </xf>
    <xf numFmtId="0" fontId="7" fillId="5" borderId="15" xfId="1" applyFont="1" applyFill="1" applyBorder="1" applyAlignment="1" applyProtection="1">
      <alignment horizontal="center" vertical="center" textRotation="90"/>
      <protection locked="0"/>
    </xf>
    <xf numFmtId="17" fontId="7" fillId="5" borderId="26" xfId="1" applyNumberFormat="1" applyFont="1" applyFill="1" applyBorder="1" applyAlignment="1">
      <alignment horizontal="center" vertical="center" textRotation="90"/>
    </xf>
    <xf numFmtId="17" fontId="7" fillId="5" borderId="10" xfId="1" applyNumberFormat="1" applyFont="1" applyFill="1" applyBorder="1" applyAlignment="1">
      <alignment horizontal="center" vertical="center" textRotation="90"/>
    </xf>
    <xf numFmtId="17" fontId="7" fillId="5" borderId="15" xfId="1" applyNumberFormat="1" applyFont="1" applyFill="1" applyBorder="1" applyAlignment="1">
      <alignment horizontal="center" vertical="center" textRotation="90"/>
    </xf>
  </cellXfs>
  <cellStyles count="2">
    <cellStyle name="Normal" xfId="0" builtinId="0"/>
    <cellStyle name="Normal 2" xfId="1" xr:uid="{06B45E0F-1332-403B-A884-6221B3BC18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Academic Burndown</a:t>
            </a:r>
          </a:p>
        </c:rich>
      </c:tx>
      <c:layout>
        <c:manualLayout>
          <c:xMode val="edge"/>
          <c:yMode val="edge"/>
          <c:x val="0.414645669291338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241907261592306E-2"/>
          <c:y val="0.1158001155401502"/>
          <c:w val="0.90859372265966754"/>
          <c:h val="0.71411864244872336"/>
        </c:manualLayout>
      </c:layout>
      <c:lineChart>
        <c:grouping val="standard"/>
        <c:varyColors val="0"/>
        <c:ser>
          <c:idx val="0"/>
          <c:order val="0"/>
          <c:tx>
            <c:strRef>
              <c:f>'Hours &amp; Burndown'!$G$2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'Hours &amp; Burndown'!$B$4:$B$24</c:f>
              <c:numCache>
                <c:formatCode>m/d/yyyy</c:formatCode>
                <c:ptCount val="2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</c:numCache>
            </c:numRef>
          </c:cat>
          <c:val>
            <c:numRef>
              <c:f>'Hours &amp; Burndown'!$G$4:$G$24</c:f>
              <c:numCache>
                <c:formatCode>General</c:formatCode>
                <c:ptCount val="21"/>
                <c:pt idx="0">
                  <c:v>150</c:v>
                </c:pt>
                <c:pt idx="1">
                  <c:v>144</c:v>
                </c:pt>
                <c:pt idx="2">
                  <c:v>138</c:v>
                </c:pt>
                <c:pt idx="3">
                  <c:v>132</c:v>
                </c:pt>
                <c:pt idx="4">
                  <c:v>122</c:v>
                </c:pt>
                <c:pt idx="5">
                  <c:v>112</c:v>
                </c:pt>
                <c:pt idx="6">
                  <c:v>106</c:v>
                </c:pt>
                <c:pt idx="7">
                  <c:v>100</c:v>
                </c:pt>
                <c:pt idx="8">
                  <c:v>94</c:v>
                </c:pt>
                <c:pt idx="9">
                  <c:v>88</c:v>
                </c:pt>
                <c:pt idx="10">
                  <c:v>78</c:v>
                </c:pt>
                <c:pt idx="11">
                  <c:v>68</c:v>
                </c:pt>
                <c:pt idx="12">
                  <c:v>62</c:v>
                </c:pt>
                <c:pt idx="13">
                  <c:v>56</c:v>
                </c:pt>
                <c:pt idx="14">
                  <c:v>50</c:v>
                </c:pt>
                <c:pt idx="15">
                  <c:v>44</c:v>
                </c:pt>
                <c:pt idx="16">
                  <c:v>38</c:v>
                </c:pt>
                <c:pt idx="17">
                  <c:v>30</c:v>
                </c:pt>
                <c:pt idx="18">
                  <c:v>20</c:v>
                </c:pt>
                <c:pt idx="19">
                  <c:v>10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7-473B-8C8F-BECFAE14DA17}"/>
            </c:ext>
          </c:extLst>
        </c:ser>
        <c:ser>
          <c:idx val="1"/>
          <c:order val="1"/>
          <c:tx>
            <c:strRef>
              <c:f>'Hours &amp; Burndown'!$H$2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'Hours &amp; Burndown'!$B$4:$B$24</c:f>
              <c:numCache>
                <c:formatCode>m/d/yyyy</c:formatCode>
                <c:ptCount val="2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</c:numCache>
            </c:numRef>
          </c:cat>
          <c:val>
            <c:numRef>
              <c:f>'Hours &amp; Burndown'!$H$4:$H$15</c:f>
              <c:numCache>
                <c:formatCode>General</c:formatCode>
                <c:ptCount val="12"/>
                <c:pt idx="0">
                  <c:v>150</c:v>
                </c:pt>
                <c:pt idx="1">
                  <c:v>145</c:v>
                </c:pt>
                <c:pt idx="2">
                  <c:v>140</c:v>
                </c:pt>
                <c:pt idx="3">
                  <c:v>132</c:v>
                </c:pt>
                <c:pt idx="4">
                  <c:v>116</c:v>
                </c:pt>
                <c:pt idx="5">
                  <c:v>104</c:v>
                </c:pt>
                <c:pt idx="6">
                  <c:v>81</c:v>
                </c:pt>
                <c:pt idx="7">
                  <c:v>81</c:v>
                </c:pt>
                <c:pt idx="8">
                  <c:v>80</c:v>
                </c:pt>
                <c:pt idx="9">
                  <c:v>79</c:v>
                </c:pt>
                <c:pt idx="10">
                  <c:v>75</c:v>
                </c:pt>
                <c:pt idx="11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67-473B-8C8F-BECFAE14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16527"/>
        <c:axId val="2008417487"/>
      </c:lineChart>
      <c:dateAx>
        <c:axId val="200841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Week</a:t>
                </a:r>
                <a:r>
                  <a:rPr lang="en-NZ" baseline="0"/>
                  <a:t> Start Date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417487"/>
        <c:crosses val="autoZero"/>
        <c:auto val="1"/>
        <c:lblOffset val="100"/>
        <c:baseTimeUnit val="days"/>
      </c:dateAx>
      <c:valAx>
        <c:axId val="2008417487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Remaining Notional Academic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41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92006513298740888"/>
          <c:y val="1.4171864171864184E-2"/>
          <c:w val="7.9934930008748906E-2"/>
          <c:h val="9.83398491272507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Industry Burndown</a:t>
            </a:r>
          </a:p>
        </c:rich>
      </c:tx>
      <c:layout>
        <c:manualLayout>
          <c:xMode val="edge"/>
          <c:yMode val="edge"/>
          <c:x val="0.414645669291338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464129483814524E-2"/>
          <c:y val="0.10713460427498557"/>
          <c:w val="0.90859372265966754"/>
          <c:h val="0.68812210865322943"/>
        </c:manualLayout>
      </c:layout>
      <c:lineChart>
        <c:grouping val="standard"/>
        <c:varyColors val="0"/>
        <c:ser>
          <c:idx val="0"/>
          <c:order val="0"/>
          <c:tx>
            <c:strRef>
              <c:f>'Hours &amp; Burndown'!$L$2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'Hours &amp; Burndown'!$B$4:$B$24</c:f>
              <c:numCache>
                <c:formatCode>m/d/yyyy</c:formatCode>
                <c:ptCount val="2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</c:numCache>
            </c:numRef>
          </c:cat>
          <c:val>
            <c:numRef>
              <c:f>'Hours &amp; Burndown'!$L$4:$L$24</c:f>
              <c:numCache>
                <c:formatCode>General</c:formatCode>
                <c:ptCount val="2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296</c:v>
                </c:pt>
                <c:pt idx="4">
                  <c:v>288</c:v>
                </c:pt>
                <c:pt idx="5">
                  <c:v>280</c:v>
                </c:pt>
                <c:pt idx="6">
                  <c:v>256</c:v>
                </c:pt>
                <c:pt idx="7">
                  <c:v>232</c:v>
                </c:pt>
                <c:pt idx="8">
                  <c:v>208</c:v>
                </c:pt>
                <c:pt idx="9">
                  <c:v>184</c:v>
                </c:pt>
                <c:pt idx="10">
                  <c:v>164</c:v>
                </c:pt>
                <c:pt idx="11">
                  <c:v>144</c:v>
                </c:pt>
                <c:pt idx="12">
                  <c:v>120</c:v>
                </c:pt>
                <c:pt idx="13">
                  <c:v>96</c:v>
                </c:pt>
                <c:pt idx="14">
                  <c:v>72</c:v>
                </c:pt>
                <c:pt idx="15">
                  <c:v>48</c:v>
                </c:pt>
                <c:pt idx="16">
                  <c:v>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9-4AEF-A2D7-110381891818}"/>
            </c:ext>
          </c:extLst>
        </c:ser>
        <c:ser>
          <c:idx val="1"/>
          <c:order val="1"/>
          <c:tx>
            <c:strRef>
              <c:f>'Hours &amp; Burndown'!$M$2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'Hours &amp; Burndown'!$B$4:$B$24</c:f>
              <c:numCache>
                <c:formatCode>m/d/yyyy</c:formatCode>
                <c:ptCount val="2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</c:numCache>
            </c:numRef>
          </c:cat>
          <c:val>
            <c:numRef>
              <c:f>'Hours &amp; Burndown'!$M$4:$M$15</c:f>
              <c:numCache>
                <c:formatCode>General</c:formatCode>
                <c:ptCount val="1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296</c:v>
                </c:pt>
                <c:pt idx="4">
                  <c:v>292</c:v>
                </c:pt>
                <c:pt idx="5">
                  <c:v>285</c:v>
                </c:pt>
                <c:pt idx="6">
                  <c:v>285</c:v>
                </c:pt>
                <c:pt idx="7">
                  <c:v>257</c:v>
                </c:pt>
                <c:pt idx="8">
                  <c:v>238</c:v>
                </c:pt>
                <c:pt idx="9">
                  <c:v>218</c:v>
                </c:pt>
                <c:pt idx="10">
                  <c:v>198</c:v>
                </c:pt>
                <c:pt idx="11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9-4AEF-A2D7-110381891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16527"/>
        <c:axId val="2008417487"/>
      </c:lineChart>
      <c:dateAx>
        <c:axId val="200841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Week</a:t>
                </a:r>
                <a:r>
                  <a:rPr lang="en-NZ" baseline="0"/>
                  <a:t> Start Date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417487"/>
        <c:crosses val="autoZero"/>
        <c:auto val="1"/>
        <c:lblOffset val="100"/>
        <c:baseTimeUnit val="days"/>
      </c:dateAx>
      <c:valAx>
        <c:axId val="2008417487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Remaining Industry</a:t>
                </a:r>
                <a:r>
                  <a:rPr lang="en-NZ" baseline="0"/>
                  <a:t> </a:t>
                </a:r>
                <a:r>
                  <a:rPr lang="en-NZ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41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92006513298740888"/>
          <c:y val="1.4171864171864184E-2"/>
          <c:w val="7.9934930008748906E-2"/>
          <c:h val="9.748768405682393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29</xdr:col>
      <xdr:colOff>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207BD-F7A4-DFEA-736A-6D0D7D37D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28</xdr:row>
      <xdr:rowOff>0</xdr:rowOff>
    </xdr:from>
    <xdr:to>
      <xdr:col>29</xdr:col>
      <xdr:colOff>0</xdr:colOff>
      <xdr:row>52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2B5A85-DD53-46A5-BBE7-30F186AAC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7191-1D29-4AEF-B41B-D58FF7CA8A64}">
  <dimension ref="A1:L41"/>
  <sheetViews>
    <sheetView topLeftCell="E19" zoomScaleNormal="100" workbookViewId="0">
      <selection activeCell="L19" sqref="L19"/>
    </sheetView>
  </sheetViews>
  <sheetFormatPr defaultRowHeight="13.2" x14ac:dyDescent="0.25"/>
  <cols>
    <col min="1" max="2" width="4.6640625" style="1" customWidth="1"/>
    <col min="3" max="7" width="17.6640625" style="1" customWidth="1"/>
    <col min="8" max="9" width="6.6640625" style="1" customWidth="1"/>
    <col min="10" max="10" width="6.6640625" style="2" customWidth="1"/>
    <col min="11" max="11" width="12.44140625" style="1" customWidth="1"/>
    <col min="12" max="12" width="9.33203125" style="1" customWidth="1"/>
    <col min="13" max="16384" width="8.88671875" style="1"/>
  </cols>
  <sheetData>
    <row r="1" spans="1:12" s="69" customFormat="1" ht="26.4" thickBot="1" x14ac:dyDescent="0.45">
      <c r="A1" s="81" t="s">
        <v>29</v>
      </c>
      <c r="B1" s="82"/>
      <c r="C1" s="82"/>
      <c r="D1" s="82"/>
      <c r="E1" s="82"/>
      <c r="F1" s="82"/>
      <c r="G1" s="82"/>
      <c r="H1" s="82"/>
      <c r="I1" s="82"/>
      <c r="J1" s="82"/>
    </row>
    <row r="2" spans="1:12" ht="19.5" customHeight="1" thickBot="1" x14ac:dyDescent="0.35">
      <c r="A2" s="68"/>
      <c r="B2" s="67"/>
      <c r="C2" s="66" t="s">
        <v>28</v>
      </c>
      <c r="D2" s="65" t="s">
        <v>27</v>
      </c>
      <c r="E2" s="65" t="s">
        <v>26</v>
      </c>
      <c r="F2" s="65" t="s">
        <v>25</v>
      </c>
      <c r="G2" s="65" t="s">
        <v>24</v>
      </c>
      <c r="H2" s="65" t="s">
        <v>23</v>
      </c>
      <c r="I2" s="64" t="s">
        <v>22</v>
      </c>
      <c r="J2" s="94" t="s">
        <v>21</v>
      </c>
      <c r="K2" s="63" t="s">
        <v>60</v>
      </c>
      <c r="L2" s="63" t="s">
        <v>61</v>
      </c>
    </row>
    <row r="3" spans="1:12" ht="19.5" customHeight="1" x14ac:dyDescent="0.25">
      <c r="A3" s="116" t="s">
        <v>20</v>
      </c>
      <c r="B3" s="62">
        <v>29</v>
      </c>
      <c r="C3" s="61"/>
      <c r="D3" s="60"/>
      <c r="E3" s="59"/>
      <c r="F3" s="59"/>
      <c r="G3" s="59"/>
      <c r="H3" s="58"/>
      <c r="I3" s="58"/>
      <c r="J3" s="95"/>
      <c r="K3" s="100"/>
      <c r="L3" s="101"/>
    </row>
    <row r="4" spans="1:12" ht="19.5" customHeight="1" x14ac:dyDescent="0.25">
      <c r="A4" s="117"/>
      <c r="B4" s="8">
        <v>5</v>
      </c>
      <c r="C4" s="57"/>
      <c r="D4" s="4"/>
      <c r="E4" s="4"/>
      <c r="F4" s="4"/>
      <c r="G4" s="4"/>
      <c r="H4" s="4"/>
      <c r="I4" s="4"/>
      <c r="J4" s="96"/>
      <c r="K4" s="100"/>
      <c r="L4" s="101"/>
    </row>
    <row r="5" spans="1:12" ht="19.5" customHeight="1" x14ac:dyDescent="0.25">
      <c r="A5" s="117"/>
      <c r="B5" s="8">
        <f>B4+7</f>
        <v>12</v>
      </c>
      <c r="C5" s="56"/>
      <c r="D5" s="55"/>
      <c r="E5" s="54"/>
      <c r="F5" s="54"/>
      <c r="G5" s="54"/>
      <c r="H5" s="53"/>
      <c r="I5" s="10"/>
      <c r="J5" s="96"/>
      <c r="K5" s="100"/>
      <c r="L5" s="101"/>
    </row>
    <row r="6" spans="1:12" ht="19.5" customHeight="1" x14ac:dyDescent="0.25">
      <c r="A6" s="118"/>
      <c r="B6" s="8">
        <f>B5+7</f>
        <v>19</v>
      </c>
      <c r="C6" s="11"/>
      <c r="D6" s="53"/>
      <c r="E6" s="5"/>
      <c r="F6" s="9"/>
      <c r="G6" s="5"/>
      <c r="H6" s="52"/>
      <c r="I6" s="19"/>
      <c r="J6" s="96"/>
      <c r="K6" s="100"/>
      <c r="L6" s="101"/>
    </row>
    <row r="7" spans="1:12" ht="19.5" customHeight="1" x14ac:dyDescent="0.25">
      <c r="A7" s="110" t="s">
        <v>19</v>
      </c>
      <c r="B7" s="12">
        <f>B6+7</f>
        <v>26</v>
      </c>
      <c r="C7" s="11"/>
      <c r="D7" s="51"/>
      <c r="E7" s="6"/>
      <c r="F7" s="20"/>
      <c r="G7" s="5"/>
      <c r="H7" s="39"/>
      <c r="I7" s="39"/>
      <c r="J7" s="96"/>
      <c r="K7" s="100"/>
      <c r="L7" s="101"/>
    </row>
    <row r="8" spans="1:12" ht="19.5" customHeight="1" x14ac:dyDescent="0.25">
      <c r="A8" s="110"/>
      <c r="B8" s="8">
        <v>2</v>
      </c>
      <c r="C8" s="39"/>
      <c r="D8" s="5"/>
      <c r="E8" s="5"/>
      <c r="F8" s="5"/>
      <c r="G8" s="50" t="s">
        <v>18</v>
      </c>
      <c r="H8" s="39"/>
      <c r="I8" s="19"/>
      <c r="J8" s="96"/>
      <c r="K8" s="100"/>
      <c r="L8" s="101"/>
    </row>
    <row r="9" spans="1:12" ht="19.5" customHeight="1" thickBot="1" x14ac:dyDescent="0.3">
      <c r="A9" s="110"/>
      <c r="B9" s="3">
        <v>9</v>
      </c>
      <c r="C9" s="46"/>
      <c r="D9" s="49"/>
      <c r="E9" s="49"/>
      <c r="F9" s="48"/>
      <c r="G9" s="47"/>
      <c r="H9" s="46"/>
      <c r="I9" s="45"/>
      <c r="J9" s="97"/>
      <c r="K9" s="102"/>
      <c r="L9" s="103"/>
    </row>
    <row r="10" spans="1:12" ht="19.5" customHeight="1" x14ac:dyDescent="0.25">
      <c r="A10" s="111"/>
      <c r="B10" s="12">
        <v>16</v>
      </c>
      <c r="C10" s="44" t="s">
        <v>17</v>
      </c>
      <c r="D10" s="30"/>
      <c r="E10" s="30"/>
      <c r="F10" s="30"/>
      <c r="G10" s="30" t="s">
        <v>31</v>
      </c>
      <c r="H10" s="15" t="s">
        <v>30</v>
      </c>
      <c r="I10" s="29"/>
      <c r="J10" s="98">
        <v>1</v>
      </c>
      <c r="K10" s="100"/>
      <c r="L10" s="101"/>
    </row>
    <row r="11" spans="1:12" ht="19.5" customHeight="1" x14ac:dyDescent="0.25">
      <c r="A11" s="110" t="s">
        <v>16</v>
      </c>
      <c r="B11" s="12">
        <v>23</v>
      </c>
      <c r="C11" s="14" t="s">
        <v>37</v>
      </c>
      <c r="D11" s="14"/>
      <c r="E11" s="42"/>
      <c r="F11" s="27"/>
      <c r="G11" s="30" t="s">
        <v>31</v>
      </c>
      <c r="H11" s="15" t="s">
        <v>30</v>
      </c>
      <c r="I11" s="13"/>
      <c r="J11" s="99">
        <v>2</v>
      </c>
      <c r="K11" s="100"/>
      <c r="L11" s="101"/>
    </row>
    <row r="12" spans="1:12" ht="19.5" customHeight="1" x14ac:dyDescent="0.25">
      <c r="A12" s="110"/>
      <c r="B12" s="8">
        <v>2</v>
      </c>
      <c r="C12" s="14" t="s">
        <v>37</v>
      </c>
      <c r="D12" s="42"/>
      <c r="E12" s="14" t="s">
        <v>31</v>
      </c>
      <c r="F12" s="14"/>
      <c r="G12" s="30" t="s">
        <v>49</v>
      </c>
      <c r="H12" s="15" t="s">
        <v>30</v>
      </c>
      <c r="I12" s="29"/>
      <c r="J12" s="99">
        <v>3</v>
      </c>
      <c r="K12" s="100"/>
      <c r="L12" s="101"/>
    </row>
    <row r="13" spans="1:12" ht="19.5" customHeight="1" x14ac:dyDescent="0.25">
      <c r="A13" s="110"/>
      <c r="B13" s="8">
        <v>9</v>
      </c>
      <c r="C13" s="14" t="s">
        <v>50</v>
      </c>
      <c r="D13" s="42"/>
      <c r="E13" s="42"/>
      <c r="F13" s="42" t="s">
        <v>48</v>
      </c>
      <c r="G13" s="30" t="s">
        <v>49</v>
      </c>
      <c r="H13" s="15" t="s">
        <v>30</v>
      </c>
      <c r="I13" s="13"/>
      <c r="J13" s="99">
        <v>4</v>
      </c>
      <c r="K13" s="100"/>
      <c r="L13" s="101"/>
    </row>
    <row r="14" spans="1:12" ht="19.5" customHeight="1" x14ac:dyDescent="0.25">
      <c r="A14" s="110"/>
      <c r="B14" s="8">
        <v>16</v>
      </c>
      <c r="C14" s="14" t="s">
        <v>51</v>
      </c>
      <c r="D14" s="43" t="s">
        <v>52</v>
      </c>
      <c r="E14" s="14"/>
      <c r="F14" s="42" t="s">
        <v>48</v>
      </c>
      <c r="G14" s="30" t="s">
        <v>49</v>
      </c>
      <c r="H14" s="15" t="s">
        <v>30</v>
      </c>
      <c r="I14" s="42"/>
      <c r="J14" s="99">
        <v>5</v>
      </c>
      <c r="K14" s="105" t="s">
        <v>45</v>
      </c>
      <c r="L14" s="101"/>
    </row>
    <row r="15" spans="1:12" ht="19.5" customHeight="1" x14ac:dyDescent="0.25">
      <c r="A15" s="111"/>
      <c r="B15" s="8">
        <v>23</v>
      </c>
      <c r="C15" s="14" t="s">
        <v>50</v>
      </c>
      <c r="D15" s="14" t="s">
        <v>53</v>
      </c>
      <c r="E15" s="41" t="s">
        <v>54</v>
      </c>
      <c r="F15" s="14" t="s">
        <v>55</v>
      </c>
      <c r="G15" s="30" t="s">
        <v>56</v>
      </c>
      <c r="H15" s="15" t="s">
        <v>30</v>
      </c>
      <c r="I15" s="42"/>
      <c r="J15" s="99">
        <v>6</v>
      </c>
      <c r="K15" s="100"/>
      <c r="L15" s="101"/>
    </row>
    <row r="16" spans="1:12" ht="19.5" customHeight="1" x14ac:dyDescent="0.25">
      <c r="A16" s="114" t="s">
        <v>15</v>
      </c>
      <c r="B16" s="12">
        <v>30</v>
      </c>
      <c r="C16" s="14" t="s">
        <v>50</v>
      </c>
      <c r="D16" s="42" t="s">
        <v>54</v>
      </c>
      <c r="E16" s="41" t="s">
        <v>54</v>
      </c>
      <c r="F16" s="14" t="s">
        <v>55</v>
      </c>
      <c r="G16" s="34" t="s">
        <v>57</v>
      </c>
      <c r="H16" s="34" t="s">
        <v>36</v>
      </c>
      <c r="I16" s="34" t="s">
        <v>14</v>
      </c>
      <c r="J16" s="99">
        <v>7</v>
      </c>
      <c r="K16" s="100"/>
      <c r="L16" s="101"/>
    </row>
    <row r="17" spans="1:12" ht="19.5" customHeight="1" x14ac:dyDescent="0.25">
      <c r="A17" s="114"/>
      <c r="B17" s="8">
        <v>6</v>
      </c>
      <c r="C17" s="40" t="s">
        <v>35</v>
      </c>
      <c r="D17" s="34" t="s">
        <v>57</v>
      </c>
      <c r="E17" s="92" t="s">
        <v>58</v>
      </c>
      <c r="F17" s="9" t="s">
        <v>54</v>
      </c>
      <c r="G17" s="5" t="s">
        <v>54</v>
      </c>
      <c r="H17" s="39" t="s">
        <v>30</v>
      </c>
      <c r="I17" s="19"/>
      <c r="J17" s="96"/>
      <c r="K17" s="100"/>
      <c r="L17" s="101"/>
    </row>
    <row r="18" spans="1:12" ht="19.5" customHeight="1" x14ac:dyDescent="0.25">
      <c r="A18" s="114"/>
      <c r="B18" s="8">
        <v>13</v>
      </c>
      <c r="C18" s="11" t="s">
        <v>32</v>
      </c>
      <c r="D18" s="5" t="s">
        <v>54</v>
      </c>
      <c r="E18" s="5" t="s">
        <v>54</v>
      </c>
      <c r="F18" s="5" t="s">
        <v>54</v>
      </c>
      <c r="G18" s="5" t="s">
        <v>54</v>
      </c>
      <c r="H18" s="39" t="s">
        <v>30</v>
      </c>
      <c r="I18" s="19"/>
      <c r="J18" s="96"/>
      <c r="K18" s="100"/>
      <c r="L18" s="101"/>
    </row>
    <row r="19" spans="1:12" ht="19.5" customHeight="1" x14ac:dyDescent="0.25">
      <c r="A19" s="115"/>
      <c r="B19" s="8">
        <v>20</v>
      </c>
      <c r="C19" s="14" t="s">
        <v>50</v>
      </c>
      <c r="D19" s="14" t="s">
        <v>54</v>
      </c>
      <c r="E19" s="14" t="s">
        <v>54</v>
      </c>
      <c r="F19" s="14" t="s">
        <v>55</v>
      </c>
      <c r="G19" s="30" t="s">
        <v>56</v>
      </c>
      <c r="H19" s="14" t="s">
        <v>30</v>
      </c>
      <c r="I19" s="13"/>
      <c r="J19" s="99">
        <v>8</v>
      </c>
      <c r="K19" s="100"/>
      <c r="L19" s="107" t="s">
        <v>59</v>
      </c>
    </row>
    <row r="20" spans="1:12" ht="19.5" customHeight="1" x14ac:dyDescent="0.25">
      <c r="A20" s="110" t="s">
        <v>13</v>
      </c>
      <c r="B20" s="12">
        <v>27</v>
      </c>
      <c r="C20" s="16" t="s">
        <v>34</v>
      </c>
      <c r="D20" s="14" t="s">
        <v>54</v>
      </c>
      <c r="E20" s="14" t="s">
        <v>54</v>
      </c>
      <c r="F20" s="14" t="s">
        <v>55</v>
      </c>
      <c r="G20" s="30" t="s">
        <v>56</v>
      </c>
      <c r="H20" s="14" t="s">
        <v>30</v>
      </c>
      <c r="I20" s="13"/>
      <c r="J20" s="99">
        <v>9</v>
      </c>
      <c r="K20" s="105" t="s">
        <v>47</v>
      </c>
      <c r="L20" s="101"/>
    </row>
    <row r="21" spans="1:12" ht="19.5" customHeight="1" x14ac:dyDescent="0.25">
      <c r="A21" s="110"/>
      <c r="B21" s="8">
        <v>4</v>
      </c>
      <c r="C21" s="14" t="s">
        <v>50</v>
      </c>
      <c r="D21" s="14" t="s">
        <v>54</v>
      </c>
      <c r="E21" s="14" t="s">
        <v>54</v>
      </c>
      <c r="F21" s="14" t="s">
        <v>55</v>
      </c>
      <c r="G21" s="30" t="s">
        <v>56</v>
      </c>
      <c r="H21" s="14" t="s">
        <v>30</v>
      </c>
      <c r="I21" s="13"/>
      <c r="J21" s="99">
        <v>10</v>
      </c>
      <c r="K21" s="100"/>
      <c r="L21" s="101"/>
    </row>
    <row r="22" spans="1:12" ht="19.5" customHeight="1" x14ac:dyDescent="0.25">
      <c r="A22" s="110"/>
      <c r="B22" s="8">
        <v>11</v>
      </c>
      <c r="C22" s="14" t="s">
        <v>50</v>
      </c>
      <c r="D22" s="28" t="s">
        <v>54</v>
      </c>
      <c r="E22" s="14" t="s">
        <v>54</v>
      </c>
      <c r="F22" s="14" t="s">
        <v>55</v>
      </c>
      <c r="G22" s="30" t="s">
        <v>56</v>
      </c>
      <c r="H22" s="14" t="s">
        <v>30</v>
      </c>
      <c r="I22" s="13"/>
      <c r="J22" s="99">
        <v>11</v>
      </c>
      <c r="K22" s="100"/>
      <c r="L22" s="101"/>
    </row>
    <row r="23" spans="1:12" ht="19.5" customHeight="1" x14ac:dyDescent="0.25">
      <c r="A23" s="111"/>
      <c r="B23" s="8">
        <v>18</v>
      </c>
      <c r="C23" s="14" t="s">
        <v>50</v>
      </c>
      <c r="D23" s="17" t="s">
        <v>43</v>
      </c>
      <c r="E23" s="14" t="s">
        <v>54</v>
      </c>
      <c r="F23" s="14" t="s">
        <v>55</v>
      </c>
      <c r="G23" s="30" t="s">
        <v>56</v>
      </c>
      <c r="H23" s="14" t="s">
        <v>30</v>
      </c>
      <c r="I23" s="13"/>
      <c r="J23" s="99">
        <v>12</v>
      </c>
      <c r="K23" s="100"/>
      <c r="L23" s="107" t="s">
        <v>59</v>
      </c>
    </row>
    <row r="24" spans="1:12" ht="19.5" customHeight="1" x14ac:dyDescent="0.25">
      <c r="A24" s="110" t="s">
        <v>12</v>
      </c>
      <c r="B24" s="12">
        <v>25</v>
      </c>
      <c r="C24" s="14" t="s">
        <v>50</v>
      </c>
      <c r="D24" s="14" t="s">
        <v>54</v>
      </c>
      <c r="E24" s="14" t="s">
        <v>54</v>
      </c>
      <c r="F24" s="14" t="s">
        <v>55</v>
      </c>
      <c r="G24" s="30" t="s">
        <v>56</v>
      </c>
      <c r="H24" s="14" t="s">
        <v>30</v>
      </c>
      <c r="I24" s="13"/>
      <c r="J24" s="99">
        <v>13</v>
      </c>
      <c r="K24" s="100"/>
      <c r="L24" s="101"/>
    </row>
    <row r="25" spans="1:12" ht="19.5" customHeight="1" thickBot="1" x14ac:dyDescent="0.3">
      <c r="A25" s="110"/>
      <c r="B25" s="3">
        <v>1</v>
      </c>
      <c r="C25" s="38" t="s">
        <v>33</v>
      </c>
      <c r="D25" s="22" t="s">
        <v>54</v>
      </c>
      <c r="E25" s="22" t="s">
        <v>54</v>
      </c>
      <c r="F25" s="22" t="s">
        <v>55</v>
      </c>
      <c r="G25" s="22" t="s">
        <v>56</v>
      </c>
      <c r="H25" s="22" t="s">
        <v>30</v>
      </c>
      <c r="I25" s="37"/>
      <c r="J25" s="93">
        <v>14</v>
      </c>
      <c r="K25" s="102"/>
      <c r="L25" s="106" t="s">
        <v>59</v>
      </c>
    </row>
    <row r="26" spans="1:12" ht="19.5" customHeight="1" x14ac:dyDescent="0.25">
      <c r="A26" s="110"/>
      <c r="B26" s="12">
        <v>8</v>
      </c>
      <c r="C26" s="76" t="s">
        <v>32</v>
      </c>
      <c r="D26" s="71" t="s">
        <v>5</v>
      </c>
      <c r="E26" s="71"/>
      <c r="F26" s="71"/>
      <c r="G26" s="71"/>
      <c r="H26" s="71" t="s">
        <v>30</v>
      </c>
      <c r="I26" s="71"/>
      <c r="J26" s="98">
        <v>15</v>
      </c>
      <c r="K26" s="100"/>
      <c r="L26" s="101"/>
    </row>
    <row r="27" spans="1:12" ht="19.5" customHeight="1" x14ac:dyDescent="0.25">
      <c r="A27" s="110"/>
      <c r="B27" s="8">
        <v>15</v>
      </c>
      <c r="C27" s="77" t="s">
        <v>32</v>
      </c>
      <c r="D27" s="72" t="s">
        <v>4</v>
      </c>
      <c r="E27" s="72"/>
      <c r="F27" s="72"/>
      <c r="G27" s="73"/>
      <c r="H27" s="71" t="s">
        <v>30</v>
      </c>
      <c r="I27" s="73"/>
      <c r="J27" s="99">
        <v>16</v>
      </c>
      <c r="K27" s="100"/>
      <c r="L27" s="101"/>
    </row>
    <row r="28" spans="1:12" ht="19.5" customHeight="1" x14ac:dyDescent="0.25">
      <c r="A28" s="111"/>
      <c r="B28" s="8">
        <v>22</v>
      </c>
      <c r="C28" s="75" t="s">
        <v>32</v>
      </c>
      <c r="D28" s="74" t="s">
        <v>4</v>
      </c>
      <c r="E28" s="75"/>
      <c r="F28" s="74"/>
      <c r="G28" s="74"/>
      <c r="H28" s="71" t="s">
        <v>30</v>
      </c>
      <c r="I28" s="73"/>
      <c r="J28" s="99">
        <v>17</v>
      </c>
      <c r="K28" s="105" t="s">
        <v>62</v>
      </c>
      <c r="L28" s="101"/>
    </row>
    <row r="29" spans="1:12" ht="19.5" customHeight="1" x14ac:dyDescent="0.25">
      <c r="A29" s="110" t="s">
        <v>11</v>
      </c>
      <c r="B29" s="12">
        <v>29</v>
      </c>
      <c r="C29" s="7"/>
      <c r="D29" s="6"/>
      <c r="E29" s="36" t="s">
        <v>1</v>
      </c>
      <c r="F29" s="21"/>
      <c r="G29" s="21"/>
      <c r="H29" s="9"/>
      <c r="I29" s="19"/>
      <c r="J29" s="96"/>
      <c r="K29" s="105" t="s">
        <v>63</v>
      </c>
      <c r="L29" s="101"/>
    </row>
    <row r="30" spans="1:12" ht="19.5" customHeight="1" x14ac:dyDescent="0.25">
      <c r="A30" s="110"/>
      <c r="B30" s="8">
        <v>6</v>
      </c>
      <c r="C30" s="11"/>
      <c r="D30" s="10"/>
      <c r="E30" s="10"/>
      <c r="F30" s="35" t="s">
        <v>3</v>
      </c>
      <c r="G30" s="34" t="s">
        <v>10</v>
      </c>
      <c r="H30" s="9"/>
      <c r="I30" s="19"/>
      <c r="J30" s="96"/>
      <c r="K30" s="100"/>
      <c r="L30" s="101"/>
    </row>
    <row r="31" spans="1:12" ht="19.5" customHeight="1" x14ac:dyDescent="0.25">
      <c r="A31" s="110"/>
      <c r="B31" s="8">
        <v>13</v>
      </c>
      <c r="C31" s="7"/>
      <c r="D31" s="20"/>
      <c r="E31" s="32"/>
      <c r="F31" s="33"/>
      <c r="G31" s="32"/>
      <c r="H31" s="9"/>
      <c r="I31" s="19"/>
      <c r="J31" s="96"/>
      <c r="K31" s="100"/>
      <c r="L31" s="101"/>
    </row>
    <row r="32" spans="1:12" ht="19.5" customHeight="1" x14ac:dyDescent="0.25">
      <c r="A32" s="111"/>
      <c r="B32" s="8">
        <v>20</v>
      </c>
      <c r="C32" s="31"/>
      <c r="D32" s="30"/>
      <c r="E32" s="14"/>
      <c r="F32" s="30"/>
      <c r="G32" s="29"/>
      <c r="H32" s="14"/>
      <c r="I32" s="13"/>
      <c r="J32" s="99"/>
      <c r="K32" s="100"/>
      <c r="L32" s="101"/>
    </row>
    <row r="33" spans="1:12" ht="19.5" customHeight="1" x14ac:dyDescent="0.25">
      <c r="A33" s="110" t="s">
        <v>9</v>
      </c>
      <c r="B33" s="12">
        <v>27</v>
      </c>
      <c r="C33" s="15"/>
      <c r="D33" s="14"/>
      <c r="E33" s="14"/>
      <c r="F33" s="14"/>
      <c r="G33" s="13"/>
      <c r="H33" s="14"/>
      <c r="I33" s="13"/>
      <c r="J33" s="99"/>
      <c r="K33" s="100"/>
      <c r="L33" s="101"/>
    </row>
    <row r="34" spans="1:12" ht="19.5" customHeight="1" x14ac:dyDescent="0.25">
      <c r="A34" s="110"/>
      <c r="B34" s="8">
        <v>3</v>
      </c>
      <c r="C34" s="15"/>
      <c r="D34" s="14"/>
      <c r="E34" s="14"/>
      <c r="F34" s="14"/>
      <c r="G34" s="13"/>
      <c r="H34" s="14"/>
      <c r="I34" s="13"/>
      <c r="J34" s="99"/>
      <c r="K34" s="100"/>
      <c r="L34" s="101"/>
    </row>
    <row r="35" spans="1:12" ht="19.5" customHeight="1" x14ac:dyDescent="0.25">
      <c r="A35" s="110"/>
      <c r="B35" s="8">
        <v>10</v>
      </c>
      <c r="C35" s="15"/>
      <c r="D35" s="14"/>
      <c r="E35" s="13"/>
      <c r="F35" s="14"/>
      <c r="G35" s="13"/>
      <c r="H35" s="14"/>
      <c r="I35" s="13"/>
      <c r="J35" s="99"/>
      <c r="K35" s="100"/>
      <c r="L35" s="101"/>
    </row>
    <row r="36" spans="1:12" ht="19.5" customHeight="1" x14ac:dyDescent="0.25">
      <c r="A36" s="110"/>
      <c r="B36" s="8">
        <v>17</v>
      </c>
      <c r="C36" s="15"/>
      <c r="D36" s="14"/>
      <c r="E36" s="14"/>
      <c r="F36" s="14"/>
      <c r="G36" s="13"/>
      <c r="H36" s="14"/>
      <c r="I36" s="13"/>
      <c r="J36" s="99"/>
      <c r="K36" s="100"/>
      <c r="L36" s="101"/>
    </row>
    <row r="37" spans="1:12" ht="19.5" customHeight="1" x14ac:dyDescent="0.25">
      <c r="A37" s="111"/>
      <c r="B37" s="8">
        <v>24</v>
      </c>
      <c r="C37" s="15"/>
      <c r="D37" s="14"/>
      <c r="E37" s="14"/>
      <c r="F37" s="14"/>
      <c r="G37" s="27"/>
      <c r="H37" s="14"/>
      <c r="I37" s="13"/>
      <c r="J37" s="99"/>
      <c r="K37" s="100"/>
      <c r="L37" s="101"/>
    </row>
    <row r="38" spans="1:12" ht="19.5" customHeight="1" x14ac:dyDescent="0.25">
      <c r="A38" s="112" t="s">
        <v>8</v>
      </c>
      <c r="B38" s="8">
        <v>31</v>
      </c>
      <c r="C38" s="15"/>
      <c r="D38" s="14"/>
      <c r="E38" s="14"/>
      <c r="F38" s="14"/>
      <c r="G38" s="13"/>
      <c r="H38" s="14"/>
      <c r="I38" s="13"/>
      <c r="J38" s="99"/>
      <c r="K38" s="100"/>
      <c r="L38" s="101"/>
    </row>
    <row r="39" spans="1:12" ht="19.5" customHeight="1" x14ac:dyDescent="0.25">
      <c r="A39" s="110"/>
      <c r="B39" s="8">
        <v>7</v>
      </c>
      <c r="C39" s="15"/>
      <c r="D39" s="14"/>
      <c r="E39" s="14"/>
      <c r="F39" s="14"/>
      <c r="G39" s="70" t="s">
        <v>7</v>
      </c>
      <c r="H39" s="14"/>
      <c r="I39" s="13"/>
      <c r="J39" s="99"/>
      <c r="K39" s="100"/>
      <c r="L39" s="101"/>
    </row>
    <row r="40" spans="1:12" ht="19.5" customHeight="1" x14ac:dyDescent="0.25">
      <c r="A40" s="110"/>
      <c r="B40" s="8">
        <v>14</v>
      </c>
      <c r="C40" s="18"/>
      <c r="D40" s="26"/>
      <c r="E40" s="14"/>
      <c r="F40" s="14"/>
      <c r="G40" s="25"/>
      <c r="H40" s="14"/>
      <c r="I40" s="13"/>
      <c r="J40" s="99"/>
      <c r="K40" s="100"/>
      <c r="L40" s="101"/>
    </row>
    <row r="41" spans="1:12" ht="19.5" customHeight="1" thickBot="1" x14ac:dyDescent="0.3">
      <c r="A41" s="113"/>
      <c r="B41" s="3">
        <v>21</v>
      </c>
      <c r="C41" s="24" t="s">
        <v>6</v>
      </c>
      <c r="D41" s="23"/>
      <c r="E41" s="22"/>
      <c r="F41" s="22"/>
      <c r="G41" s="22"/>
      <c r="H41" s="22"/>
      <c r="I41" s="22"/>
      <c r="J41" s="93"/>
      <c r="K41" s="102"/>
      <c r="L41" s="104"/>
    </row>
  </sheetData>
  <mergeCells count="9">
    <mergeCell ref="A29:A32"/>
    <mergeCell ref="A33:A37"/>
    <mergeCell ref="A38:A41"/>
    <mergeCell ref="A16:A19"/>
    <mergeCell ref="A3:A6"/>
    <mergeCell ref="A7:A10"/>
    <mergeCell ref="A11:A15"/>
    <mergeCell ref="A20:A23"/>
    <mergeCell ref="A24:A28"/>
  </mergeCells>
  <phoneticPr fontId="5" type="noConversion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1BE6-91F9-4A3B-BB2C-E07A0491B807}">
  <dimension ref="A1:N25"/>
  <sheetViews>
    <sheetView tabSelected="1" topLeftCell="A2" zoomScaleNormal="100" workbookViewId="0">
      <selection activeCell="K5" sqref="K5:K15"/>
    </sheetView>
  </sheetViews>
  <sheetFormatPr defaultRowHeight="14.4" x14ac:dyDescent="0.3"/>
  <cols>
    <col min="1" max="1" width="9.88671875" style="85" customWidth="1"/>
    <col min="2" max="2" width="10.6640625" style="85" bestFit="1" customWidth="1"/>
    <col min="3" max="3" width="10.6640625" style="85" customWidth="1"/>
    <col min="4" max="4" width="0.44140625" style="80" customWidth="1"/>
    <col min="5" max="8" width="7.21875" customWidth="1"/>
    <col min="9" max="9" width="0.44140625" style="80" customWidth="1"/>
    <col min="10" max="13" width="7.21875" customWidth="1"/>
    <col min="14" max="14" width="0.44140625" style="80" customWidth="1"/>
    <col min="30" max="30" width="2.21875" customWidth="1"/>
  </cols>
  <sheetData>
    <row r="1" spans="1:13" x14ac:dyDescent="0.3">
      <c r="A1" s="109" t="s">
        <v>0</v>
      </c>
      <c r="B1" s="109"/>
      <c r="C1" s="109" t="s">
        <v>44</v>
      </c>
      <c r="E1" s="108" t="s">
        <v>38</v>
      </c>
      <c r="F1" s="108"/>
      <c r="G1" s="108" t="s">
        <v>42</v>
      </c>
      <c r="H1" s="108"/>
      <c r="I1" s="79"/>
      <c r="J1" s="108" t="s">
        <v>41</v>
      </c>
      <c r="K1" s="108"/>
      <c r="L1" s="108" t="s">
        <v>42</v>
      </c>
      <c r="M1" s="108"/>
    </row>
    <row r="2" spans="1:13" x14ac:dyDescent="0.3">
      <c r="A2" s="109"/>
      <c r="B2" s="109"/>
      <c r="C2" s="109"/>
      <c r="E2" s="78" t="s">
        <v>39</v>
      </c>
      <c r="F2" s="78" t="s">
        <v>40</v>
      </c>
      <c r="G2" s="78" t="s">
        <v>39</v>
      </c>
      <c r="H2" s="78" t="s">
        <v>40</v>
      </c>
      <c r="I2" s="79"/>
      <c r="J2" s="78" t="s">
        <v>39</v>
      </c>
      <c r="K2" s="78" t="s">
        <v>40</v>
      </c>
      <c r="L2" s="78" t="s">
        <v>39</v>
      </c>
      <c r="M2" s="78" t="s">
        <v>40</v>
      </c>
    </row>
    <row r="3" spans="1:13" s="80" customFormat="1" ht="3" customHeight="1" x14ac:dyDescent="0.3">
      <c r="A3" s="79"/>
      <c r="B3" s="79"/>
      <c r="C3" s="79"/>
    </row>
    <row r="4" spans="1:13" ht="11.4" customHeight="1" x14ac:dyDescent="0.3">
      <c r="A4" s="89">
        <v>0</v>
      </c>
      <c r="B4" s="91">
        <v>46062</v>
      </c>
      <c r="C4" s="90"/>
      <c r="E4" s="80"/>
      <c r="F4" s="80"/>
      <c r="G4" s="80">
        <v>150</v>
      </c>
      <c r="H4" s="80">
        <v>150</v>
      </c>
      <c r="J4" s="80"/>
      <c r="K4" s="80"/>
      <c r="L4" s="80">
        <v>300</v>
      </c>
      <c r="M4" s="80">
        <v>300</v>
      </c>
    </row>
    <row r="5" spans="1:13" x14ac:dyDescent="0.3">
      <c r="A5" s="83">
        <v>1</v>
      </c>
      <c r="B5" s="84">
        <v>46069</v>
      </c>
      <c r="C5" s="87"/>
      <c r="E5">
        <v>6</v>
      </c>
      <c r="F5">
        <v>5</v>
      </c>
      <c r="G5">
        <f t="shared" ref="G5:G24" si="0">G4-E5</f>
        <v>144</v>
      </c>
      <c r="H5">
        <f t="shared" ref="H5:H24" si="1">H4-F5</f>
        <v>145</v>
      </c>
      <c r="J5">
        <v>0</v>
      </c>
      <c r="K5">
        <v>0</v>
      </c>
      <c r="L5">
        <f>L4-J5</f>
        <v>300</v>
      </c>
      <c r="M5">
        <f>M4-K5</f>
        <v>300</v>
      </c>
    </row>
    <row r="6" spans="1:13" x14ac:dyDescent="0.3">
      <c r="A6" s="83">
        <v>2</v>
      </c>
      <c r="B6" s="84">
        <v>46076</v>
      </c>
      <c r="C6" s="87"/>
      <c r="E6">
        <v>6</v>
      </c>
      <c r="F6">
        <v>5</v>
      </c>
      <c r="G6">
        <f t="shared" si="0"/>
        <v>138</v>
      </c>
      <c r="H6">
        <f t="shared" si="1"/>
        <v>140</v>
      </c>
      <c r="J6">
        <v>0</v>
      </c>
      <c r="K6">
        <v>0</v>
      </c>
      <c r="L6">
        <f>L5-J6</f>
        <v>300</v>
      </c>
      <c r="M6">
        <f>M5-K6</f>
        <v>300</v>
      </c>
    </row>
    <row r="7" spans="1:13" x14ac:dyDescent="0.3">
      <c r="A7" s="83">
        <v>3</v>
      </c>
      <c r="B7" s="84">
        <v>46083</v>
      </c>
      <c r="C7" s="87"/>
      <c r="E7">
        <v>6</v>
      </c>
      <c r="F7">
        <v>8</v>
      </c>
      <c r="G7">
        <f t="shared" si="0"/>
        <v>132</v>
      </c>
      <c r="H7">
        <f t="shared" si="1"/>
        <v>132</v>
      </c>
      <c r="J7">
        <v>4</v>
      </c>
      <c r="K7">
        <v>4</v>
      </c>
      <c r="L7">
        <f t="shared" ref="L7:L24" si="2">L6-J7</f>
        <v>296</v>
      </c>
      <c r="M7">
        <f t="shared" ref="M7:M24" si="3">M6-K7</f>
        <v>296</v>
      </c>
    </row>
    <row r="8" spans="1:13" x14ac:dyDescent="0.3">
      <c r="A8" s="83">
        <v>4</v>
      </c>
      <c r="B8" s="84">
        <v>46090</v>
      </c>
      <c r="C8" s="87"/>
      <c r="E8">
        <v>10</v>
      </c>
      <c r="F8">
        <v>16</v>
      </c>
      <c r="G8">
        <f t="shared" si="0"/>
        <v>122</v>
      </c>
      <c r="H8">
        <f t="shared" si="1"/>
        <v>116</v>
      </c>
      <c r="J8">
        <v>8</v>
      </c>
      <c r="K8">
        <v>4</v>
      </c>
      <c r="L8">
        <f t="shared" si="2"/>
        <v>288</v>
      </c>
      <c r="M8">
        <f t="shared" si="3"/>
        <v>292</v>
      </c>
    </row>
    <row r="9" spans="1:13" x14ac:dyDescent="0.3">
      <c r="A9" s="83">
        <v>5</v>
      </c>
      <c r="B9" s="86">
        <v>46097</v>
      </c>
      <c r="C9" s="88" t="s">
        <v>45</v>
      </c>
      <c r="E9">
        <v>10</v>
      </c>
      <c r="F9">
        <v>12</v>
      </c>
      <c r="G9">
        <f t="shared" si="0"/>
        <v>112</v>
      </c>
      <c r="H9">
        <f t="shared" si="1"/>
        <v>104</v>
      </c>
      <c r="J9">
        <v>8</v>
      </c>
      <c r="K9">
        <v>7</v>
      </c>
      <c r="L9">
        <f t="shared" si="2"/>
        <v>280</v>
      </c>
      <c r="M9">
        <f t="shared" si="3"/>
        <v>285</v>
      </c>
    </row>
    <row r="10" spans="1:13" x14ac:dyDescent="0.3">
      <c r="A10" s="83">
        <v>6</v>
      </c>
      <c r="B10" s="84">
        <v>46104</v>
      </c>
      <c r="C10" s="87"/>
      <c r="E10">
        <v>6</v>
      </c>
      <c r="F10">
        <v>23</v>
      </c>
      <c r="G10">
        <f t="shared" si="0"/>
        <v>106</v>
      </c>
      <c r="H10">
        <f t="shared" si="1"/>
        <v>81</v>
      </c>
      <c r="J10">
        <v>24</v>
      </c>
      <c r="K10">
        <v>0</v>
      </c>
      <c r="L10">
        <f t="shared" si="2"/>
        <v>256</v>
      </c>
      <c r="M10">
        <f t="shared" si="3"/>
        <v>285</v>
      </c>
    </row>
    <row r="11" spans="1:13" x14ac:dyDescent="0.3">
      <c r="A11" s="83">
        <v>7</v>
      </c>
      <c r="B11" s="84">
        <v>46111</v>
      </c>
      <c r="C11" s="87"/>
      <c r="E11">
        <v>6</v>
      </c>
      <c r="F11">
        <v>0</v>
      </c>
      <c r="G11">
        <f t="shared" si="0"/>
        <v>100</v>
      </c>
      <c r="H11">
        <f t="shared" si="1"/>
        <v>81</v>
      </c>
      <c r="J11">
        <v>24</v>
      </c>
      <c r="K11">
        <v>28</v>
      </c>
      <c r="L11">
        <f t="shared" si="2"/>
        <v>232</v>
      </c>
      <c r="M11">
        <f t="shared" si="3"/>
        <v>257</v>
      </c>
    </row>
    <row r="12" spans="1:13" x14ac:dyDescent="0.3">
      <c r="A12" s="83" t="s">
        <v>2</v>
      </c>
      <c r="B12" s="84">
        <v>46118</v>
      </c>
      <c r="C12" s="87"/>
      <c r="E12">
        <v>6</v>
      </c>
      <c r="F12">
        <v>1</v>
      </c>
      <c r="G12">
        <f t="shared" si="0"/>
        <v>94</v>
      </c>
      <c r="H12">
        <f t="shared" si="1"/>
        <v>80</v>
      </c>
      <c r="J12">
        <v>24</v>
      </c>
      <c r="K12">
        <v>19</v>
      </c>
      <c r="L12">
        <f t="shared" si="2"/>
        <v>208</v>
      </c>
      <c r="M12">
        <f t="shared" si="3"/>
        <v>238</v>
      </c>
    </row>
    <row r="13" spans="1:13" x14ac:dyDescent="0.3">
      <c r="A13" s="83" t="s">
        <v>2</v>
      </c>
      <c r="B13" s="84">
        <v>46125</v>
      </c>
      <c r="C13" s="87"/>
      <c r="E13">
        <v>6</v>
      </c>
      <c r="F13">
        <v>1</v>
      </c>
      <c r="G13">
        <f t="shared" si="0"/>
        <v>88</v>
      </c>
      <c r="H13">
        <f t="shared" si="1"/>
        <v>79</v>
      </c>
      <c r="J13">
        <v>24</v>
      </c>
      <c r="K13">
        <v>20</v>
      </c>
      <c r="L13">
        <f t="shared" si="2"/>
        <v>184</v>
      </c>
      <c r="M13">
        <f t="shared" si="3"/>
        <v>218</v>
      </c>
    </row>
    <row r="14" spans="1:13" x14ac:dyDescent="0.3">
      <c r="A14" s="83">
        <v>8</v>
      </c>
      <c r="B14" s="84">
        <v>46132</v>
      </c>
      <c r="C14" s="87"/>
      <c r="E14">
        <v>10</v>
      </c>
      <c r="F14">
        <v>4</v>
      </c>
      <c r="G14">
        <f t="shared" si="0"/>
        <v>78</v>
      </c>
      <c r="H14">
        <f t="shared" si="1"/>
        <v>75</v>
      </c>
      <c r="J14">
        <v>20</v>
      </c>
      <c r="K14">
        <v>20</v>
      </c>
      <c r="L14">
        <f t="shared" si="2"/>
        <v>164</v>
      </c>
      <c r="M14">
        <f t="shared" si="3"/>
        <v>198</v>
      </c>
    </row>
    <row r="15" spans="1:13" x14ac:dyDescent="0.3">
      <c r="A15" s="83">
        <v>9</v>
      </c>
      <c r="B15" s="86">
        <v>46139</v>
      </c>
      <c r="C15" s="88" t="s">
        <v>47</v>
      </c>
      <c r="E15">
        <v>10</v>
      </c>
      <c r="F15">
        <v>4</v>
      </c>
      <c r="G15">
        <f t="shared" si="0"/>
        <v>68</v>
      </c>
      <c r="H15">
        <f t="shared" si="1"/>
        <v>71</v>
      </c>
      <c r="J15">
        <v>20</v>
      </c>
      <c r="K15">
        <v>28</v>
      </c>
      <c r="L15">
        <f t="shared" si="2"/>
        <v>144</v>
      </c>
      <c r="M15">
        <f t="shared" si="3"/>
        <v>170</v>
      </c>
    </row>
    <row r="16" spans="1:13" x14ac:dyDescent="0.3">
      <c r="A16" s="83">
        <v>10</v>
      </c>
      <c r="B16" s="84">
        <v>46146</v>
      </c>
      <c r="E16">
        <v>6</v>
      </c>
      <c r="G16">
        <f t="shared" si="0"/>
        <v>62</v>
      </c>
      <c r="H16">
        <f t="shared" si="1"/>
        <v>71</v>
      </c>
      <c r="J16">
        <v>24</v>
      </c>
      <c r="L16">
        <f t="shared" si="2"/>
        <v>120</v>
      </c>
      <c r="M16">
        <f t="shared" si="3"/>
        <v>170</v>
      </c>
    </row>
    <row r="17" spans="1:13" x14ac:dyDescent="0.3">
      <c r="A17" s="83">
        <v>11</v>
      </c>
      <c r="B17" s="84">
        <v>46153</v>
      </c>
      <c r="C17" s="87"/>
      <c r="E17">
        <v>6</v>
      </c>
      <c r="G17">
        <f t="shared" si="0"/>
        <v>56</v>
      </c>
      <c r="H17">
        <f t="shared" si="1"/>
        <v>71</v>
      </c>
      <c r="J17">
        <v>24</v>
      </c>
      <c r="L17">
        <f t="shared" si="2"/>
        <v>96</v>
      </c>
      <c r="M17">
        <f t="shared" si="3"/>
        <v>170</v>
      </c>
    </row>
    <row r="18" spans="1:13" x14ac:dyDescent="0.3">
      <c r="A18" s="83">
        <v>12</v>
      </c>
      <c r="B18" s="84">
        <v>46160</v>
      </c>
      <c r="C18" s="87"/>
      <c r="E18">
        <v>6</v>
      </c>
      <c r="G18">
        <f t="shared" si="0"/>
        <v>50</v>
      </c>
      <c r="H18">
        <f t="shared" si="1"/>
        <v>71</v>
      </c>
      <c r="J18">
        <v>24</v>
      </c>
      <c r="L18">
        <f t="shared" si="2"/>
        <v>72</v>
      </c>
      <c r="M18">
        <f t="shared" si="3"/>
        <v>170</v>
      </c>
    </row>
    <row r="19" spans="1:13" x14ac:dyDescent="0.3">
      <c r="A19" s="83">
        <v>13</v>
      </c>
      <c r="B19" s="84">
        <v>46167</v>
      </c>
      <c r="C19" s="87"/>
      <c r="E19">
        <v>6</v>
      </c>
      <c r="G19">
        <f t="shared" si="0"/>
        <v>44</v>
      </c>
      <c r="H19">
        <f t="shared" si="1"/>
        <v>71</v>
      </c>
      <c r="J19">
        <v>24</v>
      </c>
      <c r="L19">
        <f t="shared" si="2"/>
        <v>48</v>
      </c>
      <c r="M19">
        <f t="shared" si="3"/>
        <v>170</v>
      </c>
    </row>
    <row r="20" spans="1:13" x14ac:dyDescent="0.3">
      <c r="A20" s="83">
        <v>14</v>
      </c>
      <c r="B20" s="84">
        <v>46174</v>
      </c>
      <c r="C20" s="87"/>
      <c r="E20">
        <v>6</v>
      </c>
      <c r="G20">
        <f t="shared" si="0"/>
        <v>38</v>
      </c>
      <c r="H20">
        <f t="shared" si="1"/>
        <v>71</v>
      </c>
      <c r="J20">
        <v>24</v>
      </c>
      <c r="L20">
        <f t="shared" si="2"/>
        <v>24</v>
      </c>
      <c r="M20">
        <f t="shared" si="3"/>
        <v>170</v>
      </c>
    </row>
    <row r="21" spans="1:13" x14ac:dyDescent="0.3">
      <c r="A21" s="83">
        <v>15</v>
      </c>
      <c r="B21" s="84">
        <v>46181</v>
      </c>
      <c r="C21" s="87"/>
      <c r="E21">
        <v>8</v>
      </c>
      <c r="G21">
        <f t="shared" si="0"/>
        <v>30</v>
      </c>
      <c r="H21">
        <f t="shared" si="1"/>
        <v>71</v>
      </c>
      <c r="J21">
        <v>24</v>
      </c>
      <c r="L21">
        <f t="shared" si="2"/>
        <v>0</v>
      </c>
      <c r="M21">
        <f t="shared" si="3"/>
        <v>170</v>
      </c>
    </row>
    <row r="22" spans="1:13" x14ac:dyDescent="0.3">
      <c r="A22" s="83">
        <v>16</v>
      </c>
      <c r="B22" s="84">
        <v>46188</v>
      </c>
      <c r="C22" s="87"/>
      <c r="E22">
        <v>10</v>
      </c>
      <c r="G22">
        <f t="shared" si="0"/>
        <v>20</v>
      </c>
      <c r="H22">
        <f t="shared" si="1"/>
        <v>71</v>
      </c>
      <c r="J22">
        <v>0</v>
      </c>
      <c r="L22">
        <f t="shared" si="2"/>
        <v>0</v>
      </c>
      <c r="M22">
        <f t="shared" si="3"/>
        <v>170</v>
      </c>
    </row>
    <row r="23" spans="1:13" x14ac:dyDescent="0.3">
      <c r="A23" s="83">
        <v>17</v>
      </c>
      <c r="B23" s="86">
        <v>46195</v>
      </c>
      <c r="C23" s="88" t="s">
        <v>46</v>
      </c>
      <c r="E23">
        <v>10</v>
      </c>
      <c r="G23">
        <f t="shared" si="0"/>
        <v>10</v>
      </c>
      <c r="H23">
        <f t="shared" si="1"/>
        <v>71</v>
      </c>
      <c r="J23">
        <v>0</v>
      </c>
      <c r="L23">
        <f t="shared" si="2"/>
        <v>0</v>
      </c>
      <c r="M23">
        <f t="shared" si="3"/>
        <v>170</v>
      </c>
    </row>
    <row r="24" spans="1:13" x14ac:dyDescent="0.3">
      <c r="A24" s="83" t="s">
        <v>1</v>
      </c>
      <c r="B24" s="84">
        <v>46202</v>
      </c>
      <c r="C24" s="87" t="s">
        <v>1</v>
      </c>
      <c r="E24">
        <v>10</v>
      </c>
      <c r="G24">
        <f t="shared" si="0"/>
        <v>0</v>
      </c>
      <c r="H24">
        <f t="shared" si="1"/>
        <v>71</v>
      </c>
      <c r="J24">
        <v>0</v>
      </c>
      <c r="L24">
        <f t="shared" si="2"/>
        <v>0</v>
      </c>
      <c r="M24">
        <f t="shared" si="3"/>
        <v>170</v>
      </c>
    </row>
    <row r="25" spans="1:13" x14ac:dyDescent="0.3">
      <c r="F25">
        <f>SUM(F5:F15)</f>
        <v>79</v>
      </c>
      <c r="K25">
        <f>SUM(K5:K24)</f>
        <v>130</v>
      </c>
      <c r="L25" t="s">
        <v>64</v>
      </c>
      <c r="M25">
        <f>SUM(F25,K25)</f>
        <v>209</v>
      </c>
    </row>
  </sheetData>
  <mergeCells count="6">
    <mergeCell ref="L1:M1"/>
    <mergeCell ref="A1:B2"/>
    <mergeCell ref="C1:C2"/>
    <mergeCell ref="E1:F1"/>
    <mergeCell ref="G1:H1"/>
    <mergeCell ref="J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Calendar</vt:lpstr>
      <vt:lpstr>Hours &amp; Burndown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McIntosh [dmm0416] (he/him)</dc:creator>
  <cp:lastModifiedBy>Daniel McIntosh [dmm0416] (he/him)</cp:lastModifiedBy>
  <dcterms:created xsi:type="dcterms:W3CDTF">2026-03-01T22:09:24Z</dcterms:created>
  <dcterms:modified xsi:type="dcterms:W3CDTF">2026-05-01T00:26:18Z</dcterms:modified>
</cp:coreProperties>
</file>